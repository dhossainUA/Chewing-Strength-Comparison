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1" l="1"/>
  <c r="F19" i="1"/>
  <c r="E19" i="1"/>
  <c r="G18" i="1"/>
  <c r="F18" i="1"/>
  <c r="E18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19" i="1" l="1"/>
  <c r="H18" i="1"/>
</calcChain>
</file>

<file path=xl/sharedStrings.xml><?xml version="1.0" encoding="utf-8"?>
<sst xmlns="http://schemas.openxmlformats.org/spreadsheetml/2006/main" count="40" uniqueCount="27">
  <si>
    <t>Subject ID</t>
  </si>
  <si>
    <t>Age (yrs)</t>
  </si>
  <si>
    <t>Weight (lb)</t>
  </si>
  <si>
    <t>Height (cm)</t>
  </si>
  <si>
    <t>BMI (kg/m2)</t>
  </si>
  <si>
    <t>Gender</t>
  </si>
  <si>
    <t>Ininital Visit</t>
  </si>
  <si>
    <t>Final Visit</t>
  </si>
  <si>
    <t>Male</t>
  </si>
  <si>
    <t>6/21/2018   12.00 PM-12.30 PM</t>
  </si>
  <si>
    <t>6/21/2018   2.00 PM-2.30 PM</t>
  </si>
  <si>
    <t>6/21/2018   1.00 PM-1.30 PM</t>
  </si>
  <si>
    <t>Female</t>
  </si>
  <si>
    <t>6/21/2018   9.00 AM-9.30 AM</t>
  </si>
  <si>
    <t>6/21/2018   10.00 AM-10.30 AM</t>
  </si>
  <si>
    <t>6/21/2018   11.00 AM-11.30 AM</t>
  </si>
  <si>
    <t>6/21/2018   4.00 PM-4.30 PM</t>
  </si>
  <si>
    <t>6/21/2018   5.00 PM-5.30 PM</t>
  </si>
  <si>
    <t>6/21/2018   8.00 AM-8.30 AM</t>
  </si>
  <si>
    <t>6/22/2018   9.00 AM-9.30 AM</t>
  </si>
  <si>
    <t>6/22/2018   10.00AM-10.30AM</t>
  </si>
  <si>
    <t>6/22/2018  10.30AM-11.00AM</t>
  </si>
  <si>
    <t>6/22/2018   11.00 AM-11.30AM</t>
  </si>
  <si>
    <t>6/22/2018 12.00AM-12.30PM</t>
  </si>
  <si>
    <t>6/22/2018 5.00PM -5.30PM</t>
  </si>
  <si>
    <t>Average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</si>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</sst>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5" tint="-0.249977111117893"/>
      <name val="Times New Roman"/>
      <family val="1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4" fontId="2" fillId="3" borderId="0" xfId="0" applyNumberFormat="1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K20"/>
  <sheetViews>
    <sheetView tabSelected="1" workbookViewId="0">
      <selection activeCell="E22" sqref="E22"/>
    </sheetView>
  </sheetViews>
  <sheetFormatPr defaultRowHeight="15" x14ac:dyDescent="0.25"/>
  <cols>
    <col min="4" max="4" width="19.5703125" customWidth="1"/>
    <col min="5" max="5" width="13.7109375" customWidth="1"/>
    <col min="6" max="6" width="14.85546875" customWidth="1"/>
    <col min="7" max="7" width="16" customWidth="1"/>
    <col min="8" max="8" width="15.28515625" customWidth="1"/>
    <col min="9" max="9" width="12.42578125" customWidth="1"/>
    <col min="10" max="10" width="15.7109375" customWidth="1"/>
    <col min="11" max="11" width="45.28515625" customWidth="1"/>
  </cols>
  <sheetData>
    <row r="1" spans="4:11" ht="18.75" x14ac:dyDescent="0.3"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4:11" x14ac:dyDescent="0.25">
      <c r="D2" s="2">
        <v>1</v>
      </c>
      <c r="E2" s="2">
        <v>29</v>
      </c>
      <c r="F2" s="2">
        <v>165</v>
      </c>
      <c r="G2" s="2">
        <v>69</v>
      </c>
      <c r="H2" s="2">
        <f t="shared" ref="H2:H16" si="0">(F2*0.45)/(G2*0.025)^2</f>
        <v>24.952741020793948</v>
      </c>
      <c r="I2" s="2" t="s">
        <v>8</v>
      </c>
      <c r="J2" s="3">
        <v>43265</v>
      </c>
      <c r="K2" s="2" t="s">
        <v>9</v>
      </c>
    </row>
    <row r="3" spans="4:11" x14ac:dyDescent="0.25">
      <c r="D3" s="2">
        <v>2</v>
      </c>
      <c r="E3" s="2">
        <v>19</v>
      </c>
      <c r="F3" s="2">
        <v>159</v>
      </c>
      <c r="G3" s="2">
        <v>74</v>
      </c>
      <c r="H3" s="2">
        <f t="shared" si="0"/>
        <v>20.905770635500364</v>
      </c>
      <c r="I3" s="2" t="s">
        <v>8</v>
      </c>
      <c r="J3" s="3">
        <v>43265</v>
      </c>
      <c r="K3" s="2" t="s">
        <v>10</v>
      </c>
    </row>
    <row r="4" spans="4:11" x14ac:dyDescent="0.25">
      <c r="D4" s="2">
        <v>3</v>
      </c>
      <c r="E4" s="2">
        <v>21</v>
      </c>
      <c r="F4" s="2">
        <v>128</v>
      </c>
      <c r="G4" s="2">
        <v>66</v>
      </c>
      <c r="H4" s="2">
        <f t="shared" si="0"/>
        <v>21.157024793388427</v>
      </c>
      <c r="I4" s="2" t="s">
        <v>8</v>
      </c>
      <c r="J4" s="3">
        <v>43265</v>
      </c>
      <c r="K4" s="2" t="s">
        <v>11</v>
      </c>
    </row>
    <row r="5" spans="4:11" x14ac:dyDescent="0.25">
      <c r="D5" s="2">
        <v>4</v>
      </c>
      <c r="E5" s="2">
        <v>31</v>
      </c>
      <c r="F5" s="2">
        <v>115</v>
      </c>
      <c r="G5" s="2">
        <v>63</v>
      </c>
      <c r="H5" s="2">
        <f t="shared" si="0"/>
        <v>20.86167800453514</v>
      </c>
      <c r="I5" s="2" t="s">
        <v>12</v>
      </c>
      <c r="J5" s="3">
        <v>43270</v>
      </c>
      <c r="K5" s="3" t="s">
        <v>13</v>
      </c>
    </row>
    <row r="6" spans="4:11" x14ac:dyDescent="0.25">
      <c r="D6" s="2">
        <v>5</v>
      </c>
      <c r="E6" s="2">
        <v>32</v>
      </c>
      <c r="F6" s="2">
        <v>159</v>
      </c>
      <c r="G6" s="2">
        <v>67</v>
      </c>
      <c r="H6" s="2">
        <f t="shared" si="0"/>
        <v>25.502339051013589</v>
      </c>
      <c r="I6" s="2" t="s">
        <v>8</v>
      </c>
      <c r="J6" s="3">
        <v>43270</v>
      </c>
      <c r="K6" s="2" t="s">
        <v>14</v>
      </c>
    </row>
    <row r="7" spans="4:11" x14ac:dyDescent="0.25">
      <c r="D7" s="2">
        <v>6</v>
      </c>
      <c r="E7" s="2">
        <v>27</v>
      </c>
      <c r="F7" s="2">
        <v>101</v>
      </c>
      <c r="G7" s="2">
        <v>64</v>
      </c>
      <c r="H7" s="2">
        <f t="shared" si="0"/>
        <v>17.753906249999996</v>
      </c>
      <c r="I7" s="2" t="s">
        <v>12</v>
      </c>
      <c r="J7" s="3">
        <v>43270</v>
      </c>
      <c r="K7" s="2" t="s">
        <v>15</v>
      </c>
    </row>
    <row r="8" spans="4:11" x14ac:dyDescent="0.25">
      <c r="D8" s="2">
        <v>7</v>
      </c>
      <c r="E8" s="2">
        <v>27</v>
      </c>
      <c r="F8" s="2">
        <v>132</v>
      </c>
      <c r="G8" s="2">
        <v>65</v>
      </c>
      <c r="H8" s="2">
        <f t="shared" si="0"/>
        <v>22.494674556213017</v>
      </c>
      <c r="I8" s="2" t="s">
        <v>8</v>
      </c>
      <c r="J8" s="3">
        <v>43270</v>
      </c>
      <c r="K8" s="2" t="s">
        <v>16</v>
      </c>
    </row>
    <row r="9" spans="4:11" x14ac:dyDescent="0.25">
      <c r="D9" s="2">
        <v>8</v>
      </c>
      <c r="E9" s="2">
        <v>29</v>
      </c>
      <c r="F9" s="2">
        <v>155</v>
      </c>
      <c r="G9" s="2">
        <v>65</v>
      </c>
      <c r="H9" s="2">
        <f t="shared" si="0"/>
        <v>26.414201183431953</v>
      </c>
      <c r="I9" s="2" t="s">
        <v>8</v>
      </c>
      <c r="J9" s="3">
        <v>43271</v>
      </c>
      <c r="K9" s="2" t="s">
        <v>17</v>
      </c>
    </row>
    <row r="10" spans="4:11" x14ac:dyDescent="0.25">
      <c r="D10" s="2">
        <v>9</v>
      </c>
      <c r="E10" s="2">
        <v>24</v>
      </c>
      <c r="F10" s="2">
        <v>170</v>
      </c>
      <c r="G10" s="2">
        <v>69</v>
      </c>
      <c r="H10" s="2">
        <f t="shared" si="0"/>
        <v>25.708884688090734</v>
      </c>
      <c r="I10" s="2" t="s">
        <v>8</v>
      </c>
      <c r="J10" s="3">
        <v>43271</v>
      </c>
      <c r="K10" s="2" t="s">
        <v>18</v>
      </c>
    </row>
    <row r="11" spans="4:11" x14ac:dyDescent="0.25">
      <c r="D11" s="2">
        <v>10</v>
      </c>
      <c r="E11" s="2">
        <v>22</v>
      </c>
      <c r="F11" s="2">
        <v>180</v>
      </c>
      <c r="G11" s="2">
        <v>71</v>
      </c>
      <c r="H11" s="2">
        <f t="shared" si="0"/>
        <v>25.709184685578254</v>
      </c>
      <c r="I11" s="2" t="s">
        <v>8</v>
      </c>
      <c r="J11" s="3">
        <v>43271</v>
      </c>
      <c r="K11" s="2" t="s">
        <v>19</v>
      </c>
    </row>
    <row r="12" spans="4:11" x14ac:dyDescent="0.25">
      <c r="D12" s="2">
        <v>11</v>
      </c>
      <c r="E12" s="2">
        <v>19</v>
      </c>
      <c r="F12" s="2">
        <v>113</v>
      </c>
      <c r="G12" s="2">
        <v>61</v>
      </c>
      <c r="H12" s="2">
        <f t="shared" si="0"/>
        <v>21.865090029561941</v>
      </c>
      <c r="I12" s="2" t="s">
        <v>12</v>
      </c>
      <c r="J12" s="3">
        <v>43271</v>
      </c>
      <c r="K12" s="3" t="s">
        <v>20</v>
      </c>
    </row>
    <row r="13" spans="4:11" x14ac:dyDescent="0.25">
      <c r="D13" s="2">
        <v>12</v>
      </c>
      <c r="E13" s="2">
        <v>21</v>
      </c>
      <c r="F13" s="2">
        <v>130</v>
      </c>
      <c r="G13" s="2">
        <v>67</v>
      </c>
      <c r="H13" s="2">
        <f t="shared" si="0"/>
        <v>20.850969035419915</v>
      </c>
      <c r="I13" s="2" t="s">
        <v>12</v>
      </c>
      <c r="J13" s="3">
        <v>43272</v>
      </c>
      <c r="K13" s="2" t="s">
        <v>21</v>
      </c>
    </row>
    <row r="14" spans="4:11" x14ac:dyDescent="0.25">
      <c r="D14" s="2">
        <v>13</v>
      </c>
      <c r="E14" s="2">
        <v>19</v>
      </c>
      <c r="F14" s="2">
        <v>135</v>
      </c>
      <c r="G14" s="2">
        <v>67</v>
      </c>
      <c r="H14" s="2">
        <f t="shared" si="0"/>
        <v>21.652929382936065</v>
      </c>
      <c r="I14" s="2" t="s">
        <v>12</v>
      </c>
      <c r="J14" s="3">
        <v>43272</v>
      </c>
      <c r="K14" s="2" t="s">
        <v>22</v>
      </c>
    </row>
    <row r="15" spans="4:11" x14ac:dyDescent="0.25">
      <c r="D15" s="2">
        <v>14</v>
      </c>
      <c r="E15" s="2">
        <v>19</v>
      </c>
      <c r="F15" s="2">
        <v>150</v>
      </c>
      <c r="G15" s="2">
        <v>68</v>
      </c>
      <c r="H15" s="2">
        <f t="shared" si="0"/>
        <v>23.356401384083039</v>
      </c>
      <c r="I15" s="2" t="s">
        <v>12</v>
      </c>
      <c r="J15" s="3">
        <v>43272</v>
      </c>
      <c r="K15" s="3" t="s">
        <v>23</v>
      </c>
    </row>
    <row r="16" spans="4:11" x14ac:dyDescent="0.25">
      <c r="D16" s="2">
        <v>15</v>
      </c>
      <c r="E16" s="2">
        <v>22</v>
      </c>
      <c r="F16" s="2">
        <v>107</v>
      </c>
      <c r="G16" s="2">
        <v>60</v>
      </c>
      <c r="H16" s="2">
        <f t="shared" si="0"/>
        <v>21.4</v>
      </c>
      <c r="I16" s="2" t="s">
        <v>12</v>
      </c>
      <c r="J16" s="3">
        <v>43273</v>
      </c>
      <c r="K16" s="3" t="s">
        <v>24</v>
      </c>
    </row>
    <row r="17" spans="4:11" x14ac:dyDescent="0.25">
      <c r="D17" s="4"/>
      <c r="E17" s="4"/>
      <c r="F17" s="4"/>
      <c r="G17" s="4"/>
      <c r="H17" s="4"/>
      <c r="I17" s="4"/>
      <c r="J17" s="4"/>
      <c r="K17" s="4"/>
    </row>
    <row r="18" spans="4:11" x14ac:dyDescent="0.25">
      <c r="D18" s="4" t="s">
        <v>25</v>
      </c>
      <c r="E18" s="4">
        <f>AVERAGE(E2:E16)</f>
        <v>24.066666666666666</v>
      </c>
      <c r="F18" s="4">
        <f>AVERAGE(F2:F16)</f>
        <v>139.93333333333334</v>
      </c>
      <c r="G18" s="4">
        <f>AVERAGE(G2:G16)</f>
        <v>66.400000000000006</v>
      </c>
      <c r="H18" s="4">
        <f>AVERAGE(H2:H16)</f>
        <v>22.705719646703088</v>
      </c>
      <c r="I18" s="4"/>
      <c r="J18" s="4"/>
      <c r="K18" s="4"/>
    </row>
    <row r="19" spans="4:11" x14ac:dyDescent="0.25">
      <c r="D19" s="4" t="s">
        <v>26</v>
      </c>
      <c r="E19" s="4">
        <f>_xlfn.STDEV.S(E2:E16)</f>
        <v>4.6822867835929767</v>
      </c>
      <c r="F19" s="4">
        <f>_xlfn.STDEV.S(F2:F16)</f>
        <v>24.595198912060269</v>
      </c>
      <c r="G19" s="4">
        <f>_xlfn.STDEV.S(G2:G16)</f>
        <v>3.6606010435446255</v>
      </c>
      <c r="H19" s="4">
        <f>_xlfn.STDEV.S(H2:H16)</f>
        <v>2.4734301878674385</v>
      </c>
      <c r="I19" s="4"/>
      <c r="J19" s="4"/>
      <c r="K19" s="4"/>
    </row>
    <row r="20" spans="4:11" x14ac:dyDescent="0.25">
      <c r="D20" s="4"/>
      <c r="E20" s="4"/>
      <c r="F20" s="4"/>
      <c r="G20" s="4"/>
      <c r="H20" s="4"/>
      <c r="I20" s="4"/>
      <c r="J20" s="4"/>
      <c r="K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2019-04-10T00:06:45Z</dcterms:modified>
</cp:coreProperties>
</file>